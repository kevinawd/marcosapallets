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 unitarios" sheetId="1" r:id="rId4"/>
    <sheet state="visible" name="Costos fijos" sheetId="2" r:id="rId5"/>
    <sheet state="visible" name="Precio" sheetId="3" r:id="rId6"/>
    <sheet state="visible" name="Volumen" sheetId="4" r:id="rId7"/>
  </sheets>
  <definedNames/>
  <calcPr/>
</workbook>
</file>

<file path=xl/sharedStrings.xml><?xml version="1.0" encoding="utf-8"?>
<sst xmlns="http://schemas.openxmlformats.org/spreadsheetml/2006/main" count="95" uniqueCount="47">
  <si>
    <r>
      <rPr>
        <rFont val="Calibri"/>
        <b/>
        <color theme="1"/>
        <sz val="11.0"/>
      </rPr>
      <t xml:space="preserve">Ejercicio. </t>
    </r>
    <r>
      <rPr>
        <rFont val="Calibri"/>
        <color theme="1"/>
        <sz val="11.0"/>
      </rPr>
      <t>La compañía VIPA, S.A., tiene costos variables unitarios de $1.50, de los cuales $1.0 corresponde a producción y $0.50 a</t>
    </r>
  </si>
  <si>
    <t>administración y venta.</t>
  </si>
  <si>
    <t>Sus costos fijos ascienden a $50 000 y su precio de venta es de $2. Actualmente logra su punto de equilibrio cuando vende</t>
  </si>
  <si>
    <t>SITUACIÓN ACTUAL</t>
  </si>
  <si>
    <t>100 000 unidades; en un nivel de ventas de 120 000 unidades obtiene una utilidad de $10 000.</t>
  </si>
  <si>
    <t>CF</t>
  </si>
  <si>
    <t>P</t>
  </si>
  <si>
    <t>1. Planea vender 120 000 unidades. ¿Qué pasaría con sus utilidades y el punto de equlibrio si introdujera un sustituto de cierta</t>
  </si>
  <si>
    <t>CV</t>
  </si>
  <si>
    <t xml:space="preserve">materia prima que reduce $0.30 sus costos variables de producción, lo cual reduciría el costo variable total por unidad de $1.50 </t>
  </si>
  <si>
    <t>VOLUMEN</t>
  </si>
  <si>
    <t>a $1.20 ($0.70 de producción y $0.50 de administración y venta)?¿Cual sería el nuevo margen de contribución y por lo</t>
  </si>
  <si>
    <t>PE</t>
  </si>
  <si>
    <t>tanto el nuevo punto de equlibrio?</t>
  </si>
  <si>
    <t>2. Se prevee un alza de $0.10 en los costos de producción, lo cual incrementaria el costo variable por unidad a $1.60</t>
  </si>
  <si>
    <t>($1.10 de producción más $0.50 de administración y ventas). ¿Cuál sería el nuevo punto de equilibrio y las utilidades</t>
  </si>
  <si>
    <t>que se obtendrían?</t>
  </si>
  <si>
    <t>Situación actual</t>
  </si>
  <si>
    <t>Propuesta 1</t>
  </si>
  <si>
    <t>Propuesta 2</t>
  </si>
  <si>
    <t>PEu= CF/P-V</t>
  </si>
  <si>
    <t>Ventas netas (120 000 a $2)</t>
  </si>
  <si>
    <t>PEp= CF/MC%</t>
  </si>
  <si>
    <t>Costos variables (120 000 a $1.50)</t>
  </si>
  <si>
    <t>Margen de contribución (VN-CV)</t>
  </si>
  <si>
    <t>Costos fijos</t>
  </si>
  <si>
    <t>Utilidad de operación (MC-CF)</t>
  </si>
  <si>
    <t xml:space="preserve">VOLUMEN </t>
  </si>
  <si>
    <t>% margen de operación (Ut. Operación/ventas)</t>
  </si>
  <si>
    <t>Margen de contribución % (MCT/ventas)</t>
  </si>
  <si>
    <t>Punto de equlibrio en unidades</t>
  </si>
  <si>
    <t>Punto de equilibrio en pesos</t>
  </si>
  <si>
    <t>PROPUESTA 1</t>
  </si>
  <si>
    <t>Nivel de ventas (unidades)</t>
  </si>
  <si>
    <t>Ventas</t>
  </si>
  <si>
    <t>Costo variables</t>
  </si>
  <si>
    <t>Costos totales</t>
  </si>
  <si>
    <t>PROPUESTA 2</t>
  </si>
  <si>
    <t xml:space="preserve">Los costos fijos se incrementan en $10 000 por la depreciación de una nueva maquinaria que se comprará para suplir </t>
  </si>
  <si>
    <t>otra obsoleta. ¿Qué pasará con el punto de equilibrio? ¿Cuáles serán las utilidades?</t>
  </si>
  <si>
    <t xml:space="preserve">1. Se sabe que su competidor más fuerte ha reducido su precio de venta, y por lo tanto la empresa tendrá que reducir </t>
  </si>
  <si>
    <t>el precio de $2 por unidad a $1.70 para mantener su mercado.</t>
  </si>
  <si>
    <t>2. La administración de VIPA desea conocer el efecto en el punto de equilibrio y en la utilidad, en las siguientes</t>
  </si>
  <si>
    <t>circunstancias: se venden 120 000 undiades a $2 cada una y se desea incrementar 15% el precio.</t>
  </si>
  <si>
    <t>Punto de equilibrio en pesos (CF/MC)</t>
  </si>
  <si>
    <t>La administración piensa realizar una campaña publicitaria con el objeto de incrementar el volumen de ventas de 120 000</t>
  </si>
  <si>
    <t>a 150 000, con un costo adicional de publicidad de $5 000 (aumentar en costos fijos)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</si>
</sst>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&quot;$&quot;* #,##0.00_-;\-&quot;$&quot;* #,##0.00_-;_-&quot;$&quot;* &quot;-&quot;??_-;_-@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C9DAF8"/>
      </left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C78D8"/>
      </left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3C78D8"/>
      </left>
      <right style="thin">
        <color rgb="FF3C78D8"/>
      </right>
      <top style="thin">
        <color rgb="FF3C78D8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1" numFmtId="0" xfId="0" applyAlignment="1" applyBorder="1" applyFill="1" applyFont="1">
      <alignment horizontal="center" readingOrder="0"/>
    </xf>
    <xf borderId="2" fillId="0" fontId="3" numFmtId="0" xfId="0" applyBorder="1" applyFont="1"/>
    <xf borderId="0" fillId="0" fontId="4" numFmtId="165" xfId="0" applyFont="1" applyNumberFormat="1"/>
    <xf borderId="3" fillId="2" fontId="1" numFmtId="0" xfId="0" applyAlignment="1" applyBorder="1" applyFont="1">
      <alignment readingOrder="0"/>
    </xf>
    <xf borderId="3" fillId="2" fontId="1" numFmtId="4" xfId="0" applyAlignment="1" applyBorder="1" applyFont="1" applyNumberFormat="1">
      <alignment readingOrder="0"/>
    </xf>
    <xf borderId="0" fillId="0" fontId="2" numFmtId="165" xfId="0" applyFont="1" applyNumberFormat="1"/>
    <xf borderId="0" fillId="0" fontId="4" numFmtId="164" xfId="0" applyFont="1" applyNumberFormat="1"/>
    <xf borderId="3" fillId="2" fontId="1" numFmtId="4" xfId="0" applyBorder="1" applyFont="1" applyNumberFormat="1"/>
    <xf borderId="4" fillId="0" fontId="2" numFmtId="0" xfId="0" applyBorder="1" applyFont="1"/>
    <xf borderId="4" fillId="0" fontId="2" numFmtId="164" xfId="0" applyBorder="1" applyFont="1" applyNumberFormat="1"/>
    <xf borderId="0" fillId="0" fontId="1" numFmtId="0" xfId="0" applyAlignment="1" applyFont="1">
      <alignment readingOrder="0"/>
    </xf>
    <xf borderId="4" fillId="0" fontId="2" numFmtId="4" xfId="0" applyBorder="1" applyFont="1" applyNumberFormat="1"/>
    <xf borderId="4" fillId="0" fontId="2" numFmtId="0" xfId="0" applyAlignment="1" applyBorder="1" applyFont="1">
      <alignment readingOrder="0"/>
    </xf>
    <xf borderId="4" fillId="0" fontId="2" numFmtId="9" xfId="0" applyBorder="1" applyFont="1" applyNumberFormat="1"/>
    <xf borderId="4" fillId="0" fontId="2" numFmtId="10" xfId="0" applyBorder="1" applyFont="1" applyNumberFormat="1"/>
    <xf borderId="0" fillId="3" fontId="1" numFmtId="0" xfId="0" applyAlignment="1" applyFill="1" applyFont="1">
      <alignment readingOrder="0"/>
    </xf>
    <xf borderId="5" fillId="4" fontId="1" numFmtId="0" xfId="0" applyAlignment="1" applyBorder="1" applyFill="1" applyFont="1">
      <alignment readingOrder="0"/>
    </xf>
    <xf borderId="5" fillId="4" fontId="2" numFmtId="4" xfId="0" applyAlignment="1" applyBorder="1" applyFont="1" applyNumberFormat="1">
      <alignment readingOrder="0"/>
    </xf>
    <xf borderId="5" fillId="4" fontId="1" numFmtId="4" xfId="0" applyAlignment="1" applyBorder="1" applyFont="1" applyNumberFormat="1">
      <alignment readingOrder="0"/>
    </xf>
    <xf borderId="5" fillId="4" fontId="2" numFmtId="4" xfId="0" applyBorder="1" applyFont="1" applyNumberFormat="1"/>
    <xf borderId="5" fillId="4" fontId="1" numFmtId="4" xfId="0" applyBorder="1" applyFont="1" applyNumberFormat="1"/>
    <xf borderId="6" fillId="4" fontId="1" numFmtId="0" xfId="0" applyAlignment="1" applyBorder="1" applyFont="1">
      <alignment readingOrder="0"/>
    </xf>
    <xf borderId="6" fillId="4" fontId="2" numFmtId="4" xfId="0" applyBorder="1" applyFont="1" applyNumberFormat="1"/>
    <xf borderId="6" fillId="4" fontId="1" numFmtId="4" xfId="0" applyBorder="1" applyFont="1" applyNumberFormat="1"/>
    <xf borderId="0" fillId="5" fontId="1" numFmtId="0" xfId="0" applyFill="1" applyFont="1"/>
    <xf borderId="0" fillId="5" fontId="2" numFmtId="4" xfId="0" applyFont="1" applyNumberFormat="1"/>
    <xf borderId="0" fillId="5" fontId="1" numFmtId="4" xfId="0" applyFont="1" applyNumberFormat="1"/>
    <xf borderId="4" fillId="0" fontId="2" numFmtId="4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Ventas, Costo variables, Costos fijos y Costos totales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'Costos unitarios'!$A$29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'Costos unitarios'!$B$28:$G$28</c:f>
            </c:strRef>
          </c:cat>
          <c:val>
            <c:numRef>
              <c:f>'Costos unitarios'!$B$29:$G$29</c:f>
              <c:numCache/>
            </c:numRef>
          </c:val>
          <c:smooth val="0"/>
        </c:ser>
        <c:ser>
          <c:idx val="1"/>
          <c:order val="1"/>
          <c:tx>
            <c:strRef>
              <c:f>'Costos unitarios'!$A$30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'Costos unitarios'!$B$28:$G$28</c:f>
            </c:strRef>
          </c:cat>
          <c:val>
            <c:numRef>
              <c:f>'Costos unitarios'!$B$30:$G$30</c:f>
              <c:numCache/>
            </c:numRef>
          </c:val>
          <c:smooth val="0"/>
        </c:ser>
        <c:ser>
          <c:idx val="2"/>
          <c:order val="2"/>
          <c:tx>
            <c:strRef>
              <c:f>'Costos unitarios'!$A$31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'Costos unitarios'!$B$28:$G$28</c:f>
            </c:strRef>
          </c:cat>
          <c:val>
            <c:numRef>
              <c:f>'Costos unitarios'!$B$31:$G$31</c:f>
              <c:numCache/>
            </c:numRef>
          </c:val>
          <c:smooth val="0"/>
        </c:ser>
        <c:ser>
          <c:idx val="3"/>
          <c:order val="3"/>
          <c:tx>
            <c:strRef>
              <c:f>'Costos unitarios'!$A$32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'Costos unitarios'!$B$28:$G$28</c:f>
            </c:strRef>
          </c:cat>
          <c:val>
            <c:numRef>
              <c:f>'Costos unitarios'!$B$32:$G$32</c:f>
              <c:numCache/>
            </c:numRef>
          </c:val>
          <c:smooth val="0"/>
        </c:ser>
        <c:axId val="2129250740"/>
        <c:axId val="255948040"/>
      </c:lineChart>
      <c:catAx>
        <c:axId val="2129250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Nivel de ventas (unidades)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948040"/>
      </c:catAx>
      <c:valAx>
        <c:axId val="255948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2507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Ventas, Costo variables, Costos fijos y Costos totales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'Costos unitarios'!$J$29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'Costos unitarios'!$K$28:$P$28</c:f>
            </c:strRef>
          </c:cat>
          <c:val>
            <c:numRef>
              <c:f>'Costos unitarios'!$K$29:$P$29</c:f>
              <c:numCache/>
            </c:numRef>
          </c:val>
          <c:smooth val="0"/>
        </c:ser>
        <c:ser>
          <c:idx val="1"/>
          <c:order val="1"/>
          <c:tx>
            <c:strRef>
              <c:f>'Costos unitarios'!$J$30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'Costos unitarios'!$K$28:$P$28</c:f>
            </c:strRef>
          </c:cat>
          <c:val>
            <c:numRef>
              <c:f>'Costos unitarios'!$K$30:$P$30</c:f>
              <c:numCache/>
            </c:numRef>
          </c:val>
          <c:smooth val="0"/>
        </c:ser>
        <c:ser>
          <c:idx val="2"/>
          <c:order val="2"/>
          <c:tx>
            <c:strRef>
              <c:f>'Costos unitarios'!$J$31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'Costos unitarios'!$K$28:$P$28</c:f>
            </c:strRef>
          </c:cat>
          <c:val>
            <c:numRef>
              <c:f>'Costos unitarios'!$K$31:$P$31</c:f>
              <c:numCache/>
            </c:numRef>
          </c:val>
          <c:smooth val="0"/>
        </c:ser>
        <c:ser>
          <c:idx val="3"/>
          <c:order val="3"/>
          <c:tx>
            <c:strRef>
              <c:f>'Costos unitarios'!$J$32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'Costos unitarios'!$K$28:$P$28</c:f>
            </c:strRef>
          </c:cat>
          <c:val>
            <c:numRef>
              <c:f>'Costos unitarios'!$K$32:$P$32</c:f>
              <c:numCache/>
            </c:numRef>
          </c:val>
          <c:smooth val="0"/>
        </c:ser>
        <c:axId val="890178111"/>
        <c:axId val="1782152609"/>
      </c:lineChart>
      <c:catAx>
        <c:axId val="890178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Nivel de ventas (unidades)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152609"/>
      </c:catAx>
      <c:valAx>
        <c:axId val="1782152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178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Ventas, Costo variables, Costos fijos y Costos totales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'Costos unitarios'!$A$56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'Costos unitarios'!$B$55:$G$55</c:f>
            </c:strRef>
          </c:cat>
          <c:val>
            <c:numRef>
              <c:f>'Costos unitarios'!$B$56:$G$56</c:f>
              <c:numCache/>
            </c:numRef>
          </c:val>
          <c:smooth val="0"/>
        </c:ser>
        <c:ser>
          <c:idx val="1"/>
          <c:order val="1"/>
          <c:tx>
            <c:strRef>
              <c:f>'Costos unitarios'!$A$57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'Costos unitarios'!$B$55:$G$55</c:f>
            </c:strRef>
          </c:cat>
          <c:val>
            <c:numRef>
              <c:f>'Costos unitarios'!$B$57:$G$57</c:f>
              <c:numCache/>
            </c:numRef>
          </c:val>
          <c:smooth val="0"/>
        </c:ser>
        <c:ser>
          <c:idx val="2"/>
          <c:order val="2"/>
          <c:tx>
            <c:strRef>
              <c:f>'Costos unitarios'!$A$58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'Costos unitarios'!$B$55:$G$55</c:f>
            </c:strRef>
          </c:cat>
          <c:val>
            <c:numRef>
              <c:f>'Costos unitarios'!$B$58:$G$58</c:f>
              <c:numCache/>
            </c:numRef>
          </c:val>
          <c:smooth val="0"/>
        </c:ser>
        <c:ser>
          <c:idx val="3"/>
          <c:order val="3"/>
          <c:tx>
            <c:strRef>
              <c:f>'Costos unitarios'!$A$59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'Costos unitarios'!$B$55:$G$55</c:f>
            </c:strRef>
          </c:cat>
          <c:val>
            <c:numRef>
              <c:f>'Costos unitarios'!$B$59:$G$59</c:f>
              <c:numCache/>
            </c:numRef>
          </c:val>
          <c:smooth val="0"/>
        </c:ser>
        <c:axId val="282358064"/>
        <c:axId val="1870346167"/>
      </c:lineChart>
      <c:catAx>
        <c:axId val="28235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Nivel de ventas (unidades)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346167"/>
      </c:catAx>
      <c:valAx>
        <c:axId val="1870346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358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1085850</xdr:colOff>
      <xdr:row>33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400050</xdr:colOff>
      <xdr:row>33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1085850</xdr:colOff>
      <xdr:row>60</xdr:row>
      <xdr:rowOff>57150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5.86"/>
    <col customWidth="1" min="3" max="4" width="12.86"/>
    <col customWidth="1" min="5" max="5" width="13.43"/>
    <col customWidth="1" min="6" max="6" width="13.0"/>
    <col customWidth="1" min="7" max="7" width="11.43"/>
    <col customWidth="1" min="8" max="8" width="12.71"/>
    <col customWidth="1" min="9" max="9" width="16.71"/>
    <col customWidth="1" min="10" max="10" width="28.29"/>
    <col customWidth="1" min="11" max="26" width="11.43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1" t="s">
        <v>2</v>
      </c>
      <c r="B3" s="2"/>
      <c r="C3" s="2"/>
      <c r="H3" s="3" t="s">
        <v>3</v>
      </c>
      <c r="I3" s="4"/>
    </row>
    <row r="4">
      <c r="A4" s="1" t="s">
        <v>4</v>
      </c>
      <c r="B4" s="2"/>
      <c r="C4" s="2"/>
      <c r="D4" s="5"/>
      <c r="H4" s="6" t="s">
        <v>5</v>
      </c>
      <c r="I4" s="7">
        <v>50000.0</v>
      </c>
    </row>
    <row r="5">
      <c r="B5" s="2"/>
      <c r="C5" s="2"/>
      <c r="D5" s="8"/>
      <c r="H5" s="6" t="s">
        <v>6</v>
      </c>
      <c r="I5" s="6">
        <v>2.0</v>
      </c>
    </row>
    <row r="6">
      <c r="A6" s="1" t="s">
        <v>7</v>
      </c>
      <c r="B6" s="2"/>
      <c r="C6" s="2"/>
      <c r="D6" s="8"/>
      <c r="H6" s="6" t="s">
        <v>8</v>
      </c>
      <c r="I6" s="6">
        <v>1.5</v>
      </c>
    </row>
    <row r="7">
      <c r="A7" s="1" t="s">
        <v>9</v>
      </c>
      <c r="B7" s="9"/>
      <c r="C7" s="2"/>
      <c r="H7" s="6" t="s">
        <v>10</v>
      </c>
      <c r="I7" s="7">
        <v>120000.0</v>
      </c>
    </row>
    <row r="8">
      <c r="A8" s="1" t="s">
        <v>11</v>
      </c>
      <c r="B8" s="2"/>
      <c r="C8" s="2"/>
      <c r="D8" s="8"/>
      <c r="H8" s="6" t="s">
        <v>12</v>
      </c>
      <c r="I8" s="7">
        <v>100000.0</v>
      </c>
    </row>
    <row r="9">
      <c r="A9" s="1" t="s">
        <v>13</v>
      </c>
      <c r="B9" s="2"/>
      <c r="C9" s="2"/>
    </row>
    <row r="10">
      <c r="B10" s="2"/>
      <c r="C10" s="2"/>
      <c r="H10" s="3">
        <v>1.0</v>
      </c>
      <c r="I10" s="4"/>
    </row>
    <row r="11">
      <c r="A11" s="1" t="s">
        <v>14</v>
      </c>
      <c r="B11" s="2"/>
      <c r="C11" s="2"/>
      <c r="H11" s="6" t="s">
        <v>5</v>
      </c>
      <c r="I11" s="7">
        <v>50000.0</v>
      </c>
    </row>
    <row r="12">
      <c r="A12" s="1" t="s">
        <v>15</v>
      </c>
      <c r="B12" s="2"/>
      <c r="C12" s="2"/>
      <c r="H12" s="6" t="s">
        <v>6</v>
      </c>
      <c r="I12" s="6">
        <v>2.0</v>
      </c>
    </row>
    <row r="13">
      <c r="A13" s="1" t="s">
        <v>16</v>
      </c>
      <c r="B13" s="2"/>
      <c r="C13" s="2"/>
      <c r="H13" s="6" t="s">
        <v>8</v>
      </c>
      <c r="I13" s="6">
        <v>1.2</v>
      </c>
    </row>
    <row r="14">
      <c r="B14" s="2"/>
      <c r="C14" s="2"/>
      <c r="H14" s="6" t="s">
        <v>10</v>
      </c>
      <c r="I14" s="7">
        <v>120000.0</v>
      </c>
    </row>
    <row r="15">
      <c r="B15" s="2"/>
      <c r="C15" s="2"/>
      <c r="H15" s="6" t="s">
        <v>12</v>
      </c>
      <c r="I15" s="10">
        <f>I11/(I12-I13)</f>
        <v>62500</v>
      </c>
    </row>
    <row r="16">
      <c r="A16" s="11"/>
      <c r="B16" s="12" t="s">
        <v>17</v>
      </c>
      <c r="C16" s="12" t="s">
        <v>18</v>
      </c>
      <c r="D16" s="11" t="s">
        <v>19</v>
      </c>
      <c r="F16" s="13" t="s">
        <v>20</v>
      </c>
    </row>
    <row r="17">
      <c r="A17" s="11" t="s">
        <v>21</v>
      </c>
      <c r="B17" s="12">
        <f>I7*I5</f>
        <v>240000</v>
      </c>
      <c r="C17" s="12">
        <f>I14*I12</f>
        <v>240000</v>
      </c>
      <c r="D17" s="14">
        <f>I21*I19</f>
        <v>240000</v>
      </c>
      <c r="F17" s="13" t="s">
        <v>22</v>
      </c>
      <c r="H17" s="3">
        <v>2.0</v>
      </c>
      <c r="I17" s="4"/>
    </row>
    <row r="18">
      <c r="A18" s="11" t="s">
        <v>23</v>
      </c>
      <c r="B18" s="12">
        <f>I7*I6</f>
        <v>180000</v>
      </c>
      <c r="C18" s="12">
        <f>I14*I13</f>
        <v>144000</v>
      </c>
      <c r="D18" s="14">
        <f>I21*I20</f>
        <v>192000</v>
      </c>
      <c r="H18" s="6" t="s">
        <v>5</v>
      </c>
      <c r="I18" s="7">
        <v>50000.0</v>
      </c>
    </row>
    <row r="19">
      <c r="A19" s="15" t="s">
        <v>24</v>
      </c>
      <c r="B19" s="12">
        <f t="shared" ref="B19:D19" si="1">B17-B18</f>
        <v>60000</v>
      </c>
      <c r="C19" s="12">
        <f t="shared" si="1"/>
        <v>96000</v>
      </c>
      <c r="D19" s="14">
        <f t="shared" si="1"/>
        <v>48000</v>
      </c>
      <c r="H19" s="6" t="s">
        <v>6</v>
      </c>
      <c r="I19" s="6">
        <v>2.0</v>
      </c>
    </row>
    <row r="20">
      <c r="A20" s="11" t="s">
        <v>25</v>
      </c>
      <c r="B20" s="12">
        <f>I4</f>
        <v>50000</v>
      </c>
      <c r="C20" s="12">
        <f>I11</f>
        <v>50000</v>
      </c>
      <c r="D20" s="14">
        <f>I18</f>
        <v>50000</v>
      </c>
      <c r="H20" s="6" t="s">
        <v>8</v>
      </c>
      <c r="I20" s="6">
        <v>1.6</v>
      </c>
    </row>
    <row r="21" ht="15.75" customHeight="1">
      <c r="A21" s="15" t="s">
        <v>26</v>
      </c>
      <c r="B21" s="12">
        <f t="shared" ref="B21:D21" si="2">B19-B20</f>
        <v>10000</v>
      </c>
      <c r="C21" s="12">
        <f t="shared" si="2"/>
        <v>46000</v>
      </c>
      <c r="D21" s="14">
        <f t="shared" si="2"/>
        <v>-2000</v>
      </c>
      <c r="H21" s="6" t="s">
        <v>27</v>
      </c>
      <c r="I21" s="7">
        <v>120000.0</v>
      </c>
    </row>
    <row r="22" ht="15.75" customHeight="1">
      <c r="A22" s="11" t="s">
        <v>28</v>
      </c>
      <c r="B22" s="16">
        <f t="shared" ref="B22:D22" si="3">B21/B17</f>
        <v>0.04166666667</v>
      </c>
      <c r="C22" s="16">
        <f t="shared" si="3"/>
        <v>0.1916666667</v>
      </c>
      <c r="D22" s="16">
        <f t="shared" si="3"/>
        <v>-0.008333333333</v>
      </c>
      <c r="H22" s="6" t="s">
        <v>12</v>
      </c>
      <c r="I22" s="10">
        <f>I18/(I19-I20)</f>
        <v>125000</v>
      </c>
    </row>
    <row r="23" ht="15.75" customHeight="1">
      <c r="A23" s="11" t="s">
        <v>29</v>
      </c>
      <c r="B23" s="16">
        <f t="shared" ref="B23:D23" si="4">B19/B17</f>
        <v>0.25</v>
      </c>
      <c r="C23" s="16">
        <f t="shared" si="4"/>
        <v>0.4</v>
      </c>
      <c r="D23" s="17">
        <f t="shared" si="4"/>
        <v>0.2</v>
      </c>
    </row>
    <row r="24" ht="15.75" customHeight="1">
      <c r="A24" s="11" t="s">
        <v>30</v>
      </c>
      <c r="B24" s="12">
        <f>B20/(I5-I6)</f>
        <v>100000</v>
      </c>
      <c r="C24" s="12">
        <f>I15</f>
        <v>62500</v>
      </c>
      <c r="D24" s="14">
        <f>I22</f>
        <v>125000</v>
      </c>
    </row>
    <row r="25" ht="15.75" customHeight="1">
      <c r="A25" s="11" t="s">
        <v>31</v>
      </c>
      <c r="B25" s="12">
        <f t="shared" ref="B25:D25" si="5">B20/B23</f>
        <v>200000</v>
      </c>
      <c r="C25" s="12">
        <f t="shared" si="5"/>
        <v>125000</v>
      </c>
      <c r="D25" s="14">
        <f t="shared" si="5"/>
        <v>250000</v>
      </c>
    </row>
    <row r="26" ht="15.75" customHeight="1">
      <c r="B26" s="2"/>
      <c r="C26" s="2"/>
    </row>
    <row r="27" ht="15.75" customHeight="1">
      <c r="A27" s="18" t="s">
        <v>3</v>
      </c>
      <c r="B27" s="2"/>
      <c r="C27" s="2"/>
      <c r="J27" s="18" t="s">
        <v>32</v>
      </c>
    </row>
    <row r="28" ht="15.75" customHeight="1">
      <c r="A28" s="19" t="s">
        <v>33</v>
      </c>
      <c r="B28" s="20">
        <v>40000.0</v>
      </c>
      <c r="C28" s="20">
        <v>60000.0</v>
      </c>
      <c r="D28" s="21">
        <v>80000.0</v>
      </c>
      <c r="E28" s="21">
        <v>100000.0</v>
      </c>
      <c r="F28" s="21">
        <v>120000.0</v>
      </c>
      <c r="G28" s="21">
        <v>140000.0</v>
      </c>
      <c r="J28" s="19" t="s">
        <v>33</v>
      </c>
      <c r="K28" s="20">
        <v>2500.0</v>
      </c>
      <c r="L28" s="20">
        <v>22500.0</v>
      </c>
      <c r="M28" s="21">
        <v>42500.0</v>
      </c>
      <c r="N28" s="21">
        <f>I15</f>
        <v>62500</v>
      </c>
      <c r="O28" s="21">
        <v>82500.0</v>
      </c>
      <c r="P28" s="21">
        <v>102500.0</v>
      </c>
    </row>
    <row r="29" ht="15.75" customHeight="1">
      <c r="A29" s="19" t="s">
        <v>34</v>
      </c>
      <c r="B29" s="22">
        <f>B28*I5</f>
        <v>80000</v>
      </c>
      <c r="C29" s="22">
        <f>C28*I5</f>
        <v>120000</v>
      </c>
      <c r="D29" s="23">
        <f>D28*I5</f>
        <v>160000</v>
      </c>
      <c r="E29" s="23">
        <f>E28*I5</f>
        <v>200000</v>
      </c>
      <c r="F29" s="23">
        <f>F28*I5</f>
        <v>240000</v>
      </c>
      <c r="G29" s="23">
        <f>G28*I5</f>
        <v>280000</v>
      </c>
      <c r="J29" s="19" t="s">
        <v>34</v>
      </c>
      <c r="K29" s="22">
        <f>K28*I12</f>
        <v>5000</v>
      </c>
      <c r="L29" s="22">
        <f>L28*I12</f>
        <v>45000</v>
      </c>
      <c r="M29" s="23">
        <f>M28*I12</f>
        <v>85000</v>
      </c>
      <c r="N29" s="23">
        <f>N28*I12</f>
        <v>125000</v>
      </c>
      <c r="O29" s="23">
        <f>O28*I12</f>
        <v>165000</v>
      </c>
      <c r="P29" s="23">
        <f>P28*I12</f>
        <v>205000</v>
      </c>
    </row>
    <row r="30" ht="15.75" customHeight="1">
      <c r="A30" s="19" t="s">
        <v>35</v>
      </c>
      <c r="B30" s="22">
        <f>B28*I6</f>
        <v>60000</v>
      </c>
      <c r="C30" s="22">
        <f>C28*I6</f>
        <v>90000</v>
      </c>
      <c r="D30" s="23">
        <f>D28*I6</f>
        <v>120000</v>
      </c>
      <c r="E30" s="23">
        <f>E28*I6</f>
        <v>150000</v>
      </c>
      <c r="F30" s="23">
        <f>F28*I6</f>
        <v>180000</v>
      </c>
      <c r="G30" s="23">
        <f>G28*I6</f>
        <v>210000</v>
      </c>
      <c r="J30" s="19" t="s">
        <v>35</v>
      </c>
      <c r="K30" s="22">
        <f>K28*I13</f>
        <v>3000</v>
      </c>
      <c r="L30" s="22">
        <f>L28*I13</f>
        <v>27000</v>
      </c>
      <c r="M30" s="23">
        <f>M28*I13</f>
        <v>51000</v>
      </c>
      <c r="N30" s="23">
        <f>N28*I13</f>
        <v>75000</v>
      </c>
      <c r="O30" s="23">
        <f>O28*I13</f>
        <v>99000</v>
      </c>
      <c r="P30" s="23">
        <f>P28*I13</f>
        <v>123000</v>
      </c>
    </row>
    <row r="31" ht="15.75" customHeight="1">
      <c r="A31" s="19" t="s">
        <v>25</v>
      </c>
      <c r="B31" s="22">
        <f>I4</f>
        <v>50000</v>
      </c>
      <c r="C31" s="22">
        <f>I4</f>
        <v>50000</v>
      </c>
      <c r="D31" s="23">
        <f>I4</f>
        <v>50000</v>
      </c>
      <c r="E31" s="23">
        <f>I4</f>
        <v>50000</v>
      </c>
      <c r="F31" s="23">
        <f>I4</f>
        <v>50000</v>
      </c>
      <c r="G31" s="23">
        <f>I4</f>
        <v>50000</v>
      </c>
      <c r="J31" s="19" t="s">
        <v>25</v>
      </c>
      <c r="K31" s="22">
        <f>I11</f>
        <v>50000</v>
      </c>
      <c r="L31" s="22">
        <f>I11</f>
        <v>50000</v>
      </c>
      <c r="M31" s="23">
        <f>I11</f>
        <v>50000</v>
      </c>
      <c r="N31" s="23">
        <f>I11</f>
        <v>50000</v>
      </c>
      <c r="O31" s="23">
        <f>I11</f>
        <v>50000</v>
      </c>
      <c r="P31" s="23">
        <f>I11</f>
        <v>50000</v>
      </c>
    </row>
    <row r="32" ht="15.75" customHeight="1">
      <c r="A32" s="24" t="s">
        <v>36</v>
      </c>
      <c r="B32" s="25">
        <f t="shared" ref="B32:G32" si="6">SUM(B30,B31)</f>
        <v>110000</v>
      </c>
      <c r="C32" s="25">
        <f t="shared" si="6"/>
        <v>140000</v>
      </c>
      <c r="D32" s="26">
        <f t="shared" si="6"/>
        <v>170000</v>
      </c>
      <c r="E32" s="26">
        <f t="shared" si="6"/>
        <v>200000</v>
      </c>
      <c r="F32" s="26">
        <f t="shared" si="6"/>
        <v>230000</v>
      </c>
      <c r="G32" s="26">
        <f t="shared" si="6"/>
        <v>260000</v>
      </c>
      <c r="J32" s="24" t="s">
        <v>36</v>
      </c>
      <c r="K32" s="25">
        <f t="shared" ref="K32:P32" si="7">SUM(K30,K31)</f>
        <v>53000</v>
      </c>
      <c r="L32" s="25">
        <f t="shared" si="7"/>
        <v>77000</v>
      </c>
      <c r="M32" s="26">
        <f t="shared" si="7"/>
        <v>101000</v>
      </c>
      <c r="N32" s="26">
        <f t="shared" si="7"/>
        <v>125000</v>
      </c>
      <c r="O32" s="26">
        <f t="shared" si="7"/>
        <v>149000</v>
      </c>
      <c r="P32" s="26">
        <f t="shared" si="7"/>
        <v>173000</v>
      </c>
    </row>
    <row r="33" ht="15.75" customHeight="1">
      <c r="A33" s="27"/>
      <c r="B33" s="28"/>
      <c r="C33" s="28"/>
      <c r="D33" s="29"/>
      <c r="E33" s="29"/>
      <c r="F33" s="29"/>
      <c r="G33" s="29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A54" s="18" t="s">
        <v>37</v>
      </c>
    </row>
    <row r="55" ht="15.75" customHeight="1">
      <c r="A55" s="19" t="s">
        <v>33</v>
      </c>
      <c r="B55" s="20">
        <f t="shared" ref="B55:D55" si="8">C55-20000</f>
        <v>65000</v>
      </c>
      <c r="C55" s="20">
        <f t="shared" si="8"/>
        <v>85000</v>
      </c>
      <c r="D55" s="21">
        <f t="shared" si="8"/>
        <v>105000</v>
      </c>
      <c r="E55" s="21">
        <f>I22</f>
        <v>125000</v>
      </c>
      <c r="F55" s="21">
        <f t="shared" ref="F55:G55" si="9">E55+20000</f>
        <v>145000</v>
      </c>
      <c r="G55" s="21">
        <f t="shared" si="9"/>
        <v>165000</v>
      </c>
    </row>
    <row r="56" ht="15.75" customHeight="1">
      <c r="A56" s="19" t="s">
        <v>34</v>
      </c>
      <c r="B56" s="22">
        <f>B55*I19</f>
        <v>130000</v>
      </c>
      <c r="C56" s="22">
        <f>C55*I19</f>
        <v>170000</v>
      </c>
      <c r="D56" s="23">
        <f>D55*I19</f>
        <v>210000</v>
      </c>
      <c r="E56" s="23">
        <f>E55*I19</f>
        <v>250000</v>
      </c>
      <c r="F56" s="23">
        <f>F55*I19</f>
        <v>290000</v>
      </c>
      <c r="G56" s="23">
        <f>G55*I19</f>
        <v>330000</v>
      </c>
    </row>
    <row r="57" ht="15.75" customHeight="1">
      <c r="A57" s="19" t="s">
        <v>35</v>
      </c>
      <c r="B57" s="22">
        <f>B55*I20</f>
        <v>104000</v>
      </c>
      <c r="C57" s="22">
        <f>C55*I20</f>
        <v>136000</v>
      </c>
      <c r="D57" s="23">
        <f>D55*I20</f>
        <v>168000</v>
      </c>
      <c r="E57" s="23">
        <f>E55*I20</f>
        <v>200000</v>
      </c>
      <c r="F57" s="23">
        <f>F55*I20</f>
        <v>232000</v>
      </c>
      <c r="G57" s="23">
        <f>G55*I20</f>
        <v>264000</v>
      </c>
    </row>
    <row r="58" ht="15.75" customHeight="1">
      <c r="A58" s="19" t="s">
        <v>25</v>
      </c>
      <c r="B58" s="22">
        <f>I18</f>
        <v>50000</v>
      </c>
      <c r="C58" s="22">
        <f>I18</f>
        <v>50000</v>
      </c>
      <c r="D58" s="23">
        <f>I18</f>
        <v>50000</v>
      </c>
      <c r="E58" s="23">
        <f>I18</f>
        <v>50000</v>
      </c>
      <c r="F58" s="23">
        <f>I18</f>
        <v>50000</v>
      </c>
      <c r="G58" s="23">
        <f>I18</f>
        <v>50000</v>
      </c>
    </row>
    <row r="59" ht="15.75" customHeight="1">
      <c r="A59" s="24" t="s">
        <v>36</v>
      </c>
      <c r="B59" s="25">
        <f t="shared" ref="B59:G59" si="10">SUM(B57,B58)</f>
        <v>154000</v>
      </c>
      <c r="C59" s="25">
        <f t="shared" si="10"/>
        <v>186000</v>
      </c>
      <c r="D59" s="26">
        <f t="shared" si="10"/>
        <v>218000</v>
      </c>
      <c r="E59" s="26">
        <f t="shared" si="10"/>
        <v>250000</v>
      </c>
      <c r="F59" s="26">
        <f t="shared" si="10"/>
        <v>282000</v>
      </c>
      <c r="G59" s="26">
        <f t="shared" si="10"/>
        <v>314000</v>
      </c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  <row r="1001" ht="15.75" customHeight="1">
      <c r="B1001" s="2"/>
      <c r="C1001" s="2"/>
    </row>
  </sheetData>
  <mergeCells count="3">
    <mergeCell ref="H3:I3"/>
    <mergeCell ref="H10:I10"/>
    <mergeCell ref="H17:I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38</v>
      </c>
    </row>
    <row r="2">
      <c r="A2" s="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5.71"/>
    <col customWidth="1" min="3" max="4" width="12.29"/>
    <col customWidth="1" min="5" max="26" width="11.43"/>
  </cols>
  <sheetData>
    <row r="1">
      <c r="A1" s="1" t="s">
        <v>40</v>
      </c>
    </row>
    <row r="2">
      <c r="A2" s="1" t="s">
        <v>41</v>
      </c>
    </row>
    <row r="4">
      <c r="A4" s="1" t="s">
        <v>42</v>
      </c>
    </row>
    <row r="5">
      <c r="A5" s="1" t="s">
        <v>43</v>
      </c>
    </row>
    <row r="6">
      <c r="G6" s="3" t="s">
        <v>3</v>
      </c>
      <c r="H6" s="4"/>
    </row>
    <row r="7">
      <c r="A7" s="11"/>
      <c r="B7" s="12" t="s">
        <v>17</v>
      </c>
      <c r="C7" s="12" t="s">
        <v>18</v>
      </c>
      <c r="D7" s="11" t="s">
        <v>19</v>
      </c>
      <c r="G7" s="6" t="s">
        <v>5</v>
      </c>
      <c r="H7" s="7">
        <v>50000.0</v>
      </c>
    </row>
    <row r="8">
      <c r="A8" s="11" t="s">
        <v>21</v>
      </c>
      <c r="B8" s="12">
        <f>H10*H8</f>
        <v>240000</v>
      </c>
      <c r="C8" s="12">
        <f>H17*H15</f>
        <v>204000</v>
      </c>
      <c r="D8" s="14">
        <f>H24*H22</f>
        <v>276000</v>
      </c>
      <c r="G8" s="6" t="s">
        <v>6</v>
      </c>
      <c r="H8" s="6">
        <v>2.0</v>
      </c>
    </row>
    <row r="9">
      <c r="A9" s="11" t="s">
        <v>23</v>
      </c>
      <c r="B9" s="12">
        <f>H10*H9</f>
        <v>180000</v>
      </c>
      <c r="C9" s="12">
        <f>H17*H16</f>
        <v>180000</v>
      </c>
      <c r="D9" s="14">
        <f>H24*H23</f>
        <v>180000</v>
      </c>
      <c r="G9" s="6" t="s">
        <v>8</v>
      </c>
      <c r="H9" s="6">
        <v>1.5</v>
      </c>
    </row>
    <row r="10">
      <c r="A10" s="15" t="s">
        <v>24</v>
      </c>
      <c r="B10" s="12">
        <f t="shared" ref="B10:D10" si="1">B8-B9</f>
        <v>60000</v>
      </c>
      <c r="C10" s="12">
        <f t="shared" si="1"/>
        <v>24000</v>
      </c>
      <c r="D10" s="14">
        <f t="shared" si="1"/>
        <v>96000</v>
      </c>
      <c r="G10" s="6" t="s">
        <v>10</v>
      </c>
      <c r="H10" s="7">
        <v>120000.0</v>
      </c>
    </row>
    <row r="11">
      <c r="A11" s="11" t="s">
        <v>25</v>
      </c>
      <c r="B11" s="12">
        <f>H7</f>
        <v>50000</v>
      </c>
      <c r="C11" s="12">
        <f>H14</f>
        <v>50000</v>
      </c>
      <c r="D11" s="30">
        <v>50000.0</v>
      </c>
      <c r="G11" s="6" t="s">
        <v>12</v>
      </c>
      <c r="H11" s="7">
        <f>H7/(H8-H9)</f>
        <v>100000</v>
      </c>
    </row>
    <row r="12">
      <c r="A12" s="15" t="s">
        <v>26</v>
      </c>
      <c r="B12" s="31">
        <f t="shared" ref="B12:D12" si="2">B10-B11</f>
        <v>10000</v>
      </c>
      <c r="C12" s="12">
        <f t="shared" si="2"/>
        <v>-26000</v>
      </c>
      <c r="D12" s="14">
        <f t="shared" si="2"/>
        <v>46000</v>
      </c>
    </row>
    <row r="13">
      <c r="A13" s="11" t="s">
        <v>28</v>
      </c>
      <c r="B13" s="16">
        <f t="shared" ref="B13:D13" si="3">B12/B8</f>
        <v>0.04166666667</v>
      </c>
      <c r="C13" s="16">
        <f t="shared" si="3"/>
        <v>-0.1274509804</v>
      </c>
      <c r="D13" s="14">
        <f t="shared" si="3"/>
        <v>0.1666666667</v>
      </c>
      <c r="G13" s="3">
        <v>1.0</v>
      </c>
      <c r="H13" s="4"/>
    </row>
    <row r="14">
      <c r="A14" s="11" t="s">
        <v>29</v>
      </c>
      <c r="B14" s="16">
        <f t="shared" ref="B14:D14" si="4">B10/B8</f>
        <v>0.25</v>
      </c>
      <c r="C14" s="16">
        <f t="shared" si="4"/>
        <v>0.1176470588</v>
      </c>
      <c r="D14" s="14">
        <f t="shared" si="4"/>
        <v>0.347826087</v>
      </c>
      <c r="G14" s="6" t="s">
        <v>5</v>
      </c>
      <c r="H14" s="7">
        <v>50000.0</v>
      </c>
    </row>
    <row r="15">
      <c r="A15" s="11" t="s">
        <v>30</v>
      </c>
      <c r="B15" s="12">
        <f>H11</f>
        <v>100000</v>
      </c>
      <c r="C15" s="12">
        <f>H18</f>
        <v>250000</v>
      </c>
      <c r="D15" s="14">
        <f>H25</f>
        <v>62500</v>
      </c>
      <c r="G15" s="6" t="s">
        <v>6</v>
      </c>
      <c r="H15" s="6">
        <v>1.7</v>
      </c>
    </row>
    <row r="16">
      <c r="A16" s="15" t="s">
        <v>44</v>
      </c>
      <c r="B16" s="12">
        <f t="shared" ref="B16:D16" si="5">B11/B14</f>
        <v>200000</v>
      </c>
      <c r="C16" s="12">
        <f t="shared" si="5"/>
        <v>425000</v>
      </c>
      <c r="D16" s="14">
        <f t="shared" si="5"/>
        <v>143750</v>
      </c>
      <c r="G16" s="6" t="s">
        <v>8</v>
      </c>
      <c r="H16" s="6">
        <v>1.5</v>
      </c>
    </row>
    <row r="17">
      <c r="G17" s="6" t="s">
        <v>10</v>
      </c>
      <c r="H17" s="7">
        <v>120000.0</v>
      </c>
    </row>
    <row r="18">
      <c r="G18" s="6" t="s">
        <v>12</v>
      </c>
      <c r="H18" s="7">
        <f>H14/(H15-H16)</f>
        <v>250000</v>
      </c>
    </row>
    <row r="20">
      <c r="G20" s="3">
        <v>2.0</v>
      </c>
      <c r="H20" s="4"/>
    </row>
    <row r="21" ht="15.75" customHeight="1">
      <c r="G21" s="6" t="s">
        <v>5</v>
      </c>
      <c r="H21" s="7">
        <v>50000.0</v>
      </c>
    </row>
    <row r="22" ht="15.75" customHeight="1">
      <c r="G22" s="6" t="s">
        <v>6</v>
      </c>
      <c r="H22" s="6">
        <v>2.3</v>
      </c>
    </row>
    <row r="23" ht="15.75" customHeight="1">
      <c r="G23" s="6" t="s">
        <v>8</v>
      </c>
      <c r="H23" s="6">
        <v>1.5</v>
      </c>
    </row>
    <row r="24" ht="15.75" customHeight="1">
      <c r="G24" s="6" t="s">
        <v>10</v>
      </c>
      <c r="H24" s="7">
        <v>120000.0</v>
      </c>
    </row>
    <row r="25" ht="15.75" customHeight="1">
      <c r="G25" s="6" t="s">
        <v>12</v>
      </c>
      <c r="H25" s="7">
        <f>H21/(H22-H23)</f>
        <v>62500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6:H6"/>
    <mergeCell ref="G13:H13"/>
    <mergeCell ref="G20:H2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45</v>
      </c>
    </row>
    <row r="2">
      <c r="A2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